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46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'Hoja1'!$A$1:$L$52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_-;_-@_-"/>
    <numFmt numFmtId="165" formatCode="[$-F800]dddd\,\ mmmm\ dd\,\ yyyy"/>
  </numFmts>
  <fonts count="12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2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0" fontId="2" fillId="0" borderId="0"/>
    <xf numFmtId="41" fontId="1" fillId="0" borderId="0"/>
  </cellStyleXfs>
  <cellXfs count="62">
    <xf numFmtId="0" fontId="0" fillId="0" borderId="0" pivotButton="0" quotePrefix="0" xfId="0"/>
    <xf numFmtId="0" fontId="2" fillId="0" borderId="0" pivotButton="0" quotePrefix="0" xfId="1"/>
    <xf numFmtId="0" fontId="2" fillId="0" borderId="5" pivotButton="0" quotePrefix="0" xfId="1"/>
    <xf numFmtId="0" fontId="2" fillId="0" borderId="4" pivotButton="0" quotePrefix="0" xfId="1"/>
    <xf numFmtId="0" fontId="2" fillId="0" borderId="7" pivotButton="0" quotePrefix="0" xfId="1"/>
    <xf numFmtId="0" fontId="2" fillId="0" borderId="8" pivotButton="0" quotePrefix="0" xfId="1"/>
    <xf numFmtId="0" fontId="2" fillId="0" borderId="6" pivotButton="0" quotePrefix="0" xfId="1"/>
    <xf numFmtId="0" fontId="2" fillId="0" borderId="9" pivotButton="0" quotePrefix="0" xfId="1"/>
    <xf numFmtId="0" fontId="2" fillId="0" borderId="10" pivotButton="0" quotePrefix="0" xfId="1"/>
    <xf numFmtId="0" fontId="2" fillId="0" borderId="11" pivotButton="0" quotePrefix="0" xfId="1"/>
    <xf numFmtId="0" fontId="0" fillId="0" borderId="12" pivotButton="0" quotePrefix="0" xfId="0"/>
    <xf numFmtId="0" fontId="0" fillId="0" borderId="13" pivotButton="0" quotePrefix="0" xfId="0"/>
    <xf numFmtId="0" fontId="2" fillId="0" borderId="13" pivotButton="0" quotePrefix="0" xfId="1"/>
    <xf numFmtId="0" fontId="4" fillId="0" borderId="14" pivotButton="0" quotePrefix="0" xfId="1"/>
    <xf numFmtId="0" fontId="4" fillId="0" borderId="15" pivotButton="0" quotePrefix="0" xfId="1"/>
    <xf numFmtId="0" fontId="2" fillId="0" borderId="15" pivotButton="0" quotePrefix="0" xfId="1"/>
    <xf numFmtId="0" fontId="2" fillId="0" borderId="16" pivotButton="0" quotePrefix="0" xfId="1"/>
    <xf numFmtId="0" fontId="6" fillId="0" borderId="0" applyAlignment="1" pivotButton="0" quotePrefix="0" xfId="1">
      <alignment horizontal="left"/>
    </xf>
    <xf numFmtId="0" fontId="5" fillId="0" borderId="6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8" fillId="0" borderId="0" pivotButton="0" quotePrefix="0" xfId="0"/>
    <xf numFmtId="0" fontId="8" fillId="0" borderId="0" pivotButton="0" quotePrefix="0" xfId="1"/>
    <xf numFmtId="0" fontId="8" fillId="0" borderId="7" applyAlignment="1" pivotButton="0" quotePrefix="0" xfId="1">
      <alignment horizontal="left" vertical="center"/>
    </xf>
    <xf numFmtId="0" fontId="0" fillId="0" borderId="5" pivotButton="0" quotePrefix="0" xfId="0"/>
    <xf numFmtId="0" fontId="7" fillId="0" borderId="0" pivotButton="0" quotePrefix="0" xfId="1"/>
    <xf numFmtId="0" fontId="6" fillId="0" borderId="0" pivotButton="0" quotePrefix="0" xfId="1"/>
    <xf numFmtId="0" fontId="6" fillId="2" borderId="1" applyAlignment="1" pivotButton="0" quotePrefix="0" xfId="1">
      <alignment vertical="center" wrapText="1"/>
    </xf>
    <xf numFmtId="0" fontId="0" fillId="2" borderId="2" pivotButton="0" quotePrefix="0" xfId="0"/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1">
      <alignment vertical="center"/>
    </xf>
    <xf numFmtId="0" fontId="6" fillId="2" borderId="2" applyAlignment="1" pivotButton="0" quotePrefix="0" xfId="1">
      <alignment vertical="center" wrapText="1"/>
    </xf>
    <xf numFmtId="0" fontId="0" fillId="2" borderId="3" pivotButton="0" quotePrefix="0" xfId="0"/>
    <xf numFmtId="0" fontId="8" fillId="0" borderId="4" pivotButton="0" quotePrefix="0" xfId="1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2" borderId="7" pivotButton="0" quotePrefix="0" xfId="0"/>
    <xf numFmtId="0" fontId="9" fillId="2" borderId="7" applyAlignment="1" pivotButton="0" quotePrefix="0" xfId="0">
      <alignment vertical="center" wrapText="1"/>
    </xf>
    <xf numFmtId="0" fontId="9" fillId="2" borderId="7" applyAlignment="1" pivotButton="0" quotePrefix="0" xfId="0">
      <alignment vertical="center"/>
    </xf>
    <xf numFmtId="0" fontId="0" fillId="2" borderId="8" pivotButton="0" quotePrefix="0" xfId="0"/>
    <xf numFmtId="0" fontId="7" fillId="0" borderId="0" pivotButton="0" quotePrefix="0" xfId="0"/>
    <xf numFmtId="0" fontId="11" fillId="0" borderId="0" pivotButton="0" quotePrefix="0" xfId="0"/>
    <xf numFmtId="0" fontId="7" fillId="0" borderId="4" pivotButton="0" quotePrefix="0" xfId="1"/>
    <xf numFmtId="164" fontId="7" fillId="0" borderId="0" pivotButton="0" quotePrefix="0" xfId="2"/>
    <xf numFmtId="0" fontId="7" fillId="0" borderId="5" pivotButton="0" quotePrefix="0" xfId="1"/>
    <xf numFmtId="0" fontId="10" fillId="2" borderId="17" applyAlignment="1" pivotButton="0" quotePrefix="0" xfId="0">
      <alignment horizontal="center"/>
    </xf>
    <xf numFmtId="0" fontId="7" fillId="0" borderId="0" applyAlignment="1" pivotButton="0" quotePrefix="0" xfId="1">
      <alignment horizontal="right"/>
    </xf>
    <xf numFmtId="0" fontId="11" fillId="2" borderId="18" applyAlignment="1" pivotButton="0" quotePrefix="0" xfId="0">
      <alignment horizontal="center"/>
    </xf>
    <xf numFmtId="0" fontId="0" fillId="0" borderId="18" pivotButton="0" quotePrefix="0" xfId="0"/>
    <xf numFmtId="0" fontId="10" fillId="2" borderId="4" applyAlignment="1" pivotButton="0" quotePrefix="0" xfId="0">
      <alignment horizontal="center"/>
    </xf>
    <xf numFmtId="0" fontId="11" fillId="0" borderId="0" pivotButton="0" quotePrefix="0" xfId="0"/>
    <xf numFmtId="165" fontId="1" fillId="0" borderId="3" applyAlignment="1" pivotButton="0" quotePrefix="0" xfId="1">
      <alignment horizontal="left" wrapText="1"/>
    </xf>
    <xf numFmtId="0" fontId="0" fillId="0" borderId="2" pivotButton="0" quotePrefix="0" xfId="0"/>
    <xf numFmtId="0" fontId="0" fillId="0" borderId="3" pivotButton="0" quotePrefix="0" xfId="0"/>
    <xf numFmtId="0" fontId="10" fillId="2" borderId="0" applyAlignment="1" pivotButton="0" quotePrefix="0" xfId="0">
      <alignment horizontal="center"/>
    </xf>
    <xf numFmtId="0" fontId="4" fillId="0" borderId="12" applyAlignment="1" pivotButton="0" quotePrefix="0" xfId="1">
      <alignment horizontal="right"/>
    </xf>
    <xf numFmtId="0" fontId="0" fillId="0" borderId="0" pivotButton="0" quotePrefix="0" xfId="0"/>
    <xf numFmtId="0" fontId="10" fillId="2" borderId="5" applyAlignment="1" pivotButton="0" quotePrefix="0" xfId="0">
      <alignment horizontal="center"/>
    </xf>
    <xf numFmtId="0" fontId="0" fillId="0" borderId="5" pivotButton="0" quotePrefix="0" xfId="0"/>
    <xf numFmtId="0" fontId="2" fillId="0" borderId="0" applyAlignment="1" pivotButton="0" quotePrefix="0" xfId="1">
      <alignment horizontal="center"/>
    </xf>
    <xf numFmtId="0" fontId="3" fillId="0" borderId="15" applyAlignment="1" pivotButton="0" quotePrefix="0" xfId="1">
      <alignment horizontal="center" vertical="center"/>
    </xf>
    <xf numFmtId="0" fontId="0" fillId="0" borderId="15" pivotButton="0" quotePrefix="0" xfId="0"/>
  </cellXfs>
  <cellStyles count="3">
    <cellStyle name="Normal" xfId="0" builtinId="0"/>
    <cellStyle name="Normal 2" xfId="1"/>
    <cellStyle name="Millares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186266</colOff>
      <row>0</row>
      <rowOff>143933</rowOff>
    </from>
    <to>
      <col>3</col>
      <colOff>658818</colOff>
      <row>11</row>
      <rowOff>25400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9269" t="23094" r="19463" b="28553"/>
        <a:stretch xmlns:a="http://schemas.openxmlformats.org/drawingml/2006/main">
          <a:fillRect/>
        </a:stretch>
      </blipFill>
      <spPr>
        <a:xfrm xmlns:a="http://schemas.openxmlformats.org/drawingml/2006/main">
          <a:off x="186266" y="143933"/>
          <a:ext cx="2961752" cy="211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tabSelected="1" view="pageBreakPreview" topLeftCell="A5" zoomScale="125" zoomScaleNormal="100" workbookViewId="0">
      <selection activeCell="E19" sqref="E19"/>
    </sheetView>
  </sheetViews>
  <sheetFormatPr baseColWidth="10" defaultRowHeight="16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59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E4" s="1" t="n"/>
      <c r="F4" s="1" t="n"/>
      <c r="G4" s="60" t="inlineStr">
        <is>
          <t>REPORTE DE ANALISIS</t>
        </is>
      </c>
    </row>
    <row r="5" ht="16" customHeight="1" s="56" thickBot="1">
      <c r="E5" s="1" t="n"/>
      <c r="F5" s="1" t="n"/>
      <c r="G5" s="61" t="n"/>
      <c r="H5" s="61" t="n"/>
      <c r="I5" s="61" t="n"/>
      <c r="J5" s="61" t="n"/>
      <c r="K5" s="61" t="n"/>
      <c r="L5" s="61" t="n"/>
    </row>
    <row r="6">
      <c r="E6" s="1" t="n"/>
      <c r="F6" s="1" t="n"/>
      <c r="G6" s="7" t="n"/>
      <c r="H6" s="8" t="n"/>
      <c r="I6" s="8" t="n"/>
      <c r="J6" s="8" t="n"/>
      <c r="K6" s="8" t="n"/>
      <c r="L6" s="9" t="n"/>
    </row>
    <row r="7">
      <c r="E7" s="1" t="n"/>
      <c r="F7" s="1" t="n"/>
      <c r="G7" s="55" t="inlineStr">
        <is>
          <t>PROVEEDOR:</t>
        </is>
      </c>
      <c r="I7" s="20" t="inlineStr"/>
      <c r="L7" s="11" t="n"/>
    </row>
    <row r="8">
      <c r="E8" s="1" t="n"/>
      <c r="F8" s="1" t="n"/>
      <c r="G8" s="55" t="n"/>
      <c r="I8" s="1" t="n"/>
      <c r="J8" s="1" t="n"/>
      <c r="K8" s="1" t="n"/>
      <c r="L8" s="12" t="n"/>
    </row>
    <row r="9">
      <c r="E9" s="1" t="n"/>
      <c r="F9" s="1" t="n"/>
      <c r="G9" s="55" t="inlineStr">
        <is>
          <t>NIT:</t>
        </is>
      </c>
      <c r="I9" s="21" t="inlineStr"/>
      <c r="J9" s="1" t="n"/>
      <c r="K9" s="1" t="n"/>
      <c r="L9" s="12" t="n"/>
    </row>
    <row r="10">
      <c r="E10" s="1" t="n"/>
      <c r="F10" s="1" t="n"/>
      <c r="G10" s="10" t="n"/>
      <c r="I10" s="1" t="n"/>
      <c r="J10" s="1" t="n"/>
      <c r="K10" s="1" t="n"/>
      <c r="L10" s="12" t="n"/>
    </row>
    <row r="11">
      <c r="E11" s="1" t="n"/>
      <c r="F11" s="1" t="n"/>
      <c r="G11" s="55" t="inlineStr">
        <is>
          <t>RUCOM:</t>
        </is>
      </c>
      <c r="I11" s="21" t="inlineStr"/>
      <c r="J11" s="1" t="n"/>
      <c r="K11" s="1" t="n"/>
      <c r="L11" s="12" t="n"/>
    </row>
    <row r="12">
      <c r="A12" s="1" t="n"/>
      <c r="B12" s="1" t="n"/>
      <c r="C12" s="1" t="n"/>
      <c r="D12" s="1" t="n"/>
      <c r="E12" s="1" t="n"/>
      <c r="F12" s="1" t="n"/>
      <c r="G12" s="10" t="n"/>
      <c r="I12" s="1" t="n"/>
      <c r="J12" s="1" t="n"/>
      <c r="K12" s="1" t="n"/>
      <c r="L12" s="12" t="n"/>
    </row>
    <row r="13" ht="17" customHeight="1" s="56" thickBot="1">
      <c r="A13" s="1" t="n"/>
      <c r="B13" s="1" t="n"/>
      <c r="C13" s="1" t="n"/>
      <c r="D13" s="1" t="n"/>
      <c r="E13" s="1" t="n"/>
      <c r="F13" s="1" t="n"/>
      <c r="G13" s="55" t="inlineStr">
        <is>
          <t>MUNICIPIO:</t>
        </is>
      </c>
      <c r="I13" s="21" t="inlineStr"/>
      <c r="J13" s="1" t="n"/>
      <c r="K13" s="1" t="n"/>
      <c r="L13" s="12" t="n"/>
    </row>
    <row r="14">
      <c r="A14" s="19" t="inlineStr">
        <is>
          <t>FECHA:</t>
        </is>
      </c>
      <c r="B14" s="51">
        <f>TODAY()</f>
        <v/>
      </c>
      <c r="C14" s="52" t="n"/>
      <c r="D14" s="53" t="n"/>
      <c r="E14" s="1" t="n"/>
      <c r="F14" s="1" t="n"/>
      <c r="G14" s="10" t="n"/>
      <c r="I14" s="1" t="n"/>
      <c r="J14" s="1" t="n"/>
      <c r="K14" s="1" t="n"/>
      <c r="L14" s="12" t="n"/>
    </row>
    <row r="15">
      <c r="A15" s="3" t="n"/>
      <c r="B15" s="1" t="n"/>
      <c r="C15" s="1" t="n"/>
      <c r="D15" s="2" t="n"/>
      <c r="E15" s="1" t="n"/>
      <c r="F15" s="1" t="n"/>
      <c r="G15" s="55" t="inlineStr">
        <is>
          <t>TIPO DE ORO:</t>
        </is>
      </c>
      <c r="I15" s="17" t="inlineStr">
        <is>
          <t>RECICLADO</t>
        </is>
      </c>
      <c r="J15" s="1" t="n"/>
      <c r="K15" s="1" t="n"/>
      <c r="L15" s="12" t="n"/>
    </row>
    <row r="16" ht="17" customHeight="1" s="56" thickBot="1">
      <c r="A16" s="18" t="inlineStr">
        <is>
          <t>DOC:</t>
        </is>
      </c>
      <c r="B16" s="22" t="inlineStr"/>
      <c r="C16" s="4" t="n"/>
      <c r="D16" s="5" t="n"/>
      <c r="E16" s="1" t="n"/>
      <c r="F16" s="1" t="n"/>
      <c r="G16" s="13" t="n"/>
      <c r="H16" s="14" t="n"/>
      <c r="I16" s="15" t="n"/>
      <c r="J16" s="15" t="n"/>
      <c r="K16" s="15" t="n"/>
      <c r="L16" s="16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7" customHeight="1" s="56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22" customFormat="1" customHeight="1" s="50" thickBot="1">
      <c r="A21" s="45" t="inlineStr">
        <is>
          <t>BARRA</t>
        </is>
      </c>
      <c r="B21" s="47" t="inlineStr"/>
      <c r="C21" s="48" t="n"/>
    </row>
    <row r="22" ht="17" customHeight="1" s="56" thickBot="1"/>
    <row r="23" ht="17" customHeight="1" s="56">
      <c r="A23" s="26" t="n"/>
      <c r="B23" s="27" t="n"/>
      <c r="C23" s="28" t="n"/>
      <c r="D23" s="28" t="n"/>
      <c r="E23" s="29" t="n"/>
      <c r="F23" s="27" t="n"/>
      <c r="G23" s="30" t="n"/>
      <c r="H23" s="27" t="n"/>
      <c r="I23" s="30" t="n"/>
      <c r="J23" s="27" t="n"/>
      <c r="K23" s="29" t="n"/>
      <c r="L23" s="31" t="n"/>
    </row>
    <row r="24" ht="16" customFormat="1" customHeight="1" s="50">
      <c r="A24" s="49" t="inlineStr">
        <is>
          <t>PESO INICIAL</t>
        </is>
      </c>
      <c r="C24" s="54" t="inlineStr">
        <is>
          <t>PESO FINAL</t>
        </is>
      </c>
      <c r="E24" s="54" t="inlineStr">
        <is>
          <t>LEY AU</t>
        </is>
      </c>
      <c r="G24" s="54" t="inlineStr">
        <is>
          <t>LEY AG</t>
        </is>
      </c>
      <c r="I24" s="54" t="inlineStr">
        <is>
          <t>GRAMOS AU</t>
        </is>
      </c>
      <c r="K24" s="57" t="inlineStr">
        <is>
          <t>GRAMOS AG</t>
        </is>
      </c>
      <c r="L24" s="58" t="n"/>
    </row>
    <row r="25" ht="17" customHeight="1" s="56" thickBot="1">
      <c r="A25" s="35" t="n"/>
      <c r="B25" s="36" t="n"/>
      <c r="C25" s="37" t="n"/>
      <c r="D25" s="38" t="n"/>
      <c r="E25" s="36" t="n"/>
      <c r="F25" s="36" t="n"/>
      <c r="G25" s="36" t="n"/>
      <c r="H25" s="36" t="n"/>
      <c r="I25" s="36" t="n"/>
      <c r="J25" s="36" t="n"/>
      <c r="K25" s="36" t="n"/>
      <c r="L25" s="39" t="n"/>
    </row>
    <row r="26">
      <c r="A26" s="3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2" t="n"/>
    </row>
    <row r="27" ht="16" customHeight="1" s="56">
      <c r="A27" s="32" t="n"/>
      <c r="C27" s="21" t="n"/>
      <c r="E27" s="25" t="n"/>
      <c r="G27" s="25" t="n"/>
      <c r="I27" s="25" t="n"/>
      <c r="L27" s="58" t="n"/>
    </row>
    <row r="28" ht="19" customFormat="1" customHeight="1" s="40">
      <c r="A28" s="42" t="inlineStr"/>
      <c r="B28" s="24" t="inlineStr">
        <is>
          <t>GR</t>
        </is>
      </c>
      <c r="C28" s="24" t="inlineStr"/>
      <c r="D28" s="24" t="inlineStr">
        <is>
          <t>GR</t>
        </is>
      </c>
      <c r="E28" s="46" t="inlineStr"/>
      <c r="F28" s="24" t="inlineStr">
        <is>
          <t>GR</t>
        </is>
      </c>
      <c r="G28" s="46" t="inlineStr"/>
      <c r="H28" s="24" t="inlineStr">
        <is>
          <t>GR</t>
        </is>
      </c>
      <c r="I28" s="43">
        <f>C28*E28/1000</f>
        <v/>
      </c>
      <c r="J28" s="24" t="inlineStr">
        <is>
          <t>GR</t>
        </is>
      </c>
      <c r="K28" s="43">
        <f>C28*G28/1000</f>
        <v/>
      </c>
      <c r="L28" s="44" t="inlineStr">
        <is>
          <t>GR</t>
        </is>
      </c>
    </row>
    <row r="29">
      <c r="A29" s="3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s="58" t="n"/>
    </row>
    <row r="30">
      <c r="A30" s="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s="58" t="n"/>
    </row>
    <row r="31" ht="17" customHeight="1" s="56" thickBot="1">
      <c r="A31" s="6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33" t="n"/>
      <c r="L31" s="34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 ht="17" customHeight="1" s="5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9" customHeight="1" s="56">
      <c r="A47" s="24" t="n"/>
      <c r="B47" s="24" t="n"/>
      <c r="C47" s="1" t="n"/>
      <c r="D47" s="1" t="n"/>
      <c r="E47" s="1" t="n"/>
      <c r="F47" s="1" t="n"/>
      <c r="G47" s="1" t="n"/>
      <c r="H47" s="1" t="n"/>
      <c r="I47" s="24" t="n"/>
      <c r="J47" s="1" t="n"/>
      <c r="K47" s="1" t="n"/>
      <c r="L47" s="1" t="n"/>
    </row>
    <row r="48" ht="19" customHeight="1" s="56">
      <c r="A48" s="24" t="n"/>
      <c r="B48" s="24" t="n"/>
      <c r="C48" s="1" t="n"/>
      <c r="D48" s="1" t="n"/>
      <c r="E48" s="1" t="n"/>
      <c r="F48" s="1" t="n"/>
      <c r="G48" s="1" t="n"/>
      <c r="H48" s="1" t="n"/>
      <c r="I48" s="24" t="n"/>
      <c r="J48" s="1" t="n"/>
      <c r="K48" s="1" t="n"/>
      <c r="L48" s="1" t="n"/>
    </row>
    <row r="49" ht="19" customHeight="1" s="56">
      <c r="A49" s="24" t="n"/>
      <c r="B49" s="24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mergeCells count="16">
    <mergeCell ref="B21:C21"/>
    <mergeCell ref="A24:B24"/>
    <mergeCell ref="B14:D14"/>
    <mergeCell ref="C24:D24"/>
    <mergeCell ref="G7:H7"/>
    <mergeCell ref="G24:H24"/>
    <mergeCell ref="K24:L24"/>
    <mergeCell ref="G15:H15"/>
    <mergeCell ref="I24:J24"/>
    <mergeCell ref="G11:H11"/>
    <mergeCell ref="E24:F24"/>
    <mergeCell ref="A2:D11"/>
    <mergeCell ref="G13:H13"/>
    <mergeCell ref="G8:H8"/>
    <mergeCell ref="G9:H9"/>
    <mergeCell ref="G4:L5"/>
  </mergeCells>
  <pageMargins left="0.25" right="0.25" top="0.75" bottom="0.75" header="0.3" footer="0.3"/>
  <pageSetup orientation="portrait" scale="73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Emanuel Angel</dc:creator>
  <dcterms:created xmlns:dcterms="http://purl.org/dc/terms/" xmlns:xsi="http://www.w3.org/2001/XMLSchema-instance" xsi:type="dcterms:W3CDTF">2025-10-02T14:32:13Z</dcterms:created>
  <dcterms:modified xmlns:dcterms="http://purl.org/dc/terms/" xmlns:xsi="http://www.w3.org/2001/XMLSchema-instance" xsi:type="dcterms:W3CDTF">2026-08-12T14:02:21Z</dcterms:modified>
  <cp:lastModifiedBy>Emanuel Angel</cp:lastModifiedBy>
</cp:coreProperties>
</file>