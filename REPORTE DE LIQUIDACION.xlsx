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29400" windowHeight="16160" tabRatio="600" firstSheet="0" activeTab="0" autoFilterDateGrouping="1"/>
  </bookViews>
  <sheets>
    <sheet xmlns:r="http://schemas.openxmlformats.org/officeDocument/2006/relationships" name="Hoja2" sheetId="1" state="visible" r:id="rId1"/>
  </sheets>
  <definedNames>
    <definedName name="_xlnm.Print_Area" localSheetId="0">'Hoja2'!$A$1:$N$77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_-&quot;$&quot;\ * #,##0_-;\-&quot;$&quot;\ * #,##0_-;_-&quot;$&quot;\ * &quot;-&quot;_-;_-@_-"/>
    <numFmt numFmtId="166" formatCode="[$-F800]dddd\,\ mmmm\ dd\,\ yyyy"/>
    <numFmt numFmtId="167" formatCode="0.0"/>
    <numFmt numFmtId="168" formatCode="&quot;$&quot;\ #,##0"/>
    <numFmt numFmtId="169" formatCode="&quot;$&quot;\ #,##0;[Red]\-&quot;$&quot;\ #,##0"/>
    <numFmt numFmtId="170" formatCode="&quot;$&quot;\ #,##0.00"/>
  </numFmts>
  <fonts count="12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36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sz val="12"/>
      <scheme val="minor"/>
    </font>
    <font>
      <name val="Calibri"/>
      <family val="2"/>
      <color theme="1"/>
      <sz val="20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1" fillId="0" borderId="0"/>
    <xf numFmtId="42" fontId="1" fillId="0" borderId="0"/>
    <xf numFmtId="9" fontId="1" fillId="0" borderId="0"/>
  </cellStyleXfs>
  <cellXfs count="6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2" fillId="0" borderId="0" applyAlignment="1" pivotButton="0" quotePrefix="0" xfId="0">
      <alignment horizontal="center"/>
    </xf>
    <xf numFmtId="0" fontId="0" fillId="0" borderId="2" pivotButton="0" quotePrefix="0" xfId="0"/>
    <xf numFmtId="0" fontId="2" fillId="2" borderId="0" pivotButton="0" quotePrefix="0" xfId="0"/>
    <xf numFmtId="0" fontId="0" fillId="2" borderId="0" pivotButton="0" quotePrefix="0" xfId="0"/>
    <xf numFmtId="0" fontId="7" fillId="2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165" fontId="8" fillId="2" borderId="0" applyAlignment="1" pivotButton="0" quotePrefix="0" xfId="1">
      <alignment horizontal="center" vertical="center" wrapText="1"/>
    </xf>
    <xf numFmtId="0" fontId="9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166" fontId="6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7" fillId="0" borderId="0" pivotButton="0" quotePrefix="0" xfId="0"/>
    <xf numFmtId="0" fontId="8" fillId="2" borderId="0" pivotButton="0" quotePrefix="0" xfId="0"/>
    <xf numFmtId="0" fontId="11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7" fontId="8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/>
    </xf>
    <xf numFmtId="14" fontId="9" fillId="0" borderId="0" applyAlignment="1" pivotButton="0" quotePrefix="0" xfId="0">
      <alignment horizontal="left"/>
    </xf>
    <xf numFmtId="0" fontId="9" fillId="0" borderId="0" applyAlignment="1" pivotButton="0" quotePrefix="0" xfId="0">
      <alignment wrapText="1"/>
    </xf>
    <xf numFmtId="2" fontId="8" fillId="2" borderId="0" applyAlignment="1" pivotButton="0" quotePrefix="0" xfId="0">
      <alignment horizontal="center" vertical="center"/>
    </xf>
    <xf numFmtId="168" fontId="2" fillId="0" borderId="0" pivotButton="0" quotePrefix="0" xfId="1"/>
    <xf numFmtId="168" fontId="8" fillId="2" borderId="0" applyAlignment="1" pivotButton="0" quotePrefix="0" xfId="1">
      <alignment horizontal="center" vertical="center" wrapText="1"/>
    </xf>
    <xf numFmtId="168" fontId="8" fillId="2" borderId="0" applyAlignment="1" pivotButton="0" quotePrefix="0" xfId="0">
      <alignment horizontal="center" vertical="center"/>
    </xf>
    <xf numFmtId="168" fontId="8" fillId="2" borderId="0" applyAlignment="1" pivotButton="0" quotePrefix="0" xfId="1">
      <alignment horizontal="center" vertical="center"/>
    </xf>
    <xf numFmtId="165" fontId="8" fillId="2" borderId="0" applyAlignment="1" pivotButton="0" quotePrefix="0" xfId="1">
      <alignment horizontal="left" vertical="center" wrapText="1"/>
    </xf>
    <xf numFmtId="10" fontId="8" fillId="2" borderId="0" applyAlignment="1" pivotButton="0" quotePrefix="0" xfId="2">
      <alignment horizontal="center"/>
    </xf>
    <xf numFmtId="169" fontId="0" fillId="0" borderId="0" pivotButton="0" quotePrefix="0" xfId="0"/>
    <xf numFmtId="170" fontId="2" fillId="0" borderId="0" applyAlignment="1" pivotButton="0" quotePrefix="0" xfId="1">
      <alignment horizontal="center"/>
    </xf>
    <xf numFmtId="170" fontId="0" fillId="0" borderId="0" pivotButton="0" quotePrefix="0" xfId="0"/>
    <xf numFmtId="170" fontId="8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horizontal="center"/>
    </xf>
    <xf numFmtId="0" fontId="11" fillId="0" borderId="0" pivotButton="0" quotePrefix="0" xfId="0"/>
    <xf numFmtId="1" fontId="5" fillId="0" borderId="1" applyAlignment="1" pivotButton="0" quotePrefix="0" xfId="0">
      <alignment horizontal="left" wrapText="1"/>
    </xf>
    <xf numFmtId="0" fontId="0" fillId="0" borderId="1" pivotButton="0" quotePrefix="0" xfId="0"/>
    <xf numFmtId="0" fontId="7" fillId="2" borderId="0" applyAlignment="1" pivotButton="0" quotePrefix="0" xfId="0">
      <alignment horizontal="center"/>
    </xf>
    <xf numFmtId="0" fontId="7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4" fontId="9" fillId="0" borderId="0" applyAlignment="1" pivotButton="0" quotePrefix="0" xfId="0">
      <alignment horizontal="left"/>
    </xf>
    <xf numFmtId="0" fontId="5" fillId="0" borderId="0" pivotButton="0" quotePrefix="0" xfId="0"/>
    <xf numFmtId="167" fontId="8" fillId="2" borderId="0" applyAlignment="1" pivotButton="0" quotePrefix="0" xfId="0">
      <alignment horizontal="center" vertical="center"/>
    </xf>
    <xf numFmtId="168" fontId="8" fillId="2" borderId="0" applyAlignment="1" pivotButton="0" quotePrefix="0" xfId="1">
      <alignment horizontal="center" vertical="center" wrapText="1"/>
    </xf>
    <xf numFmtId="168" fontId="8" fillId="2" borderId="0" applyAlignment="1" pivotButton="0" quotePrefix="0" xfId="1">
      <alignment horizontal="center" vertical="center"/>
    </xf>
    <xf numFmtId="168" fontId="8" fillId="2" borderId="0" applyAlignment="1" pivotButton="0" quotePrefix="0" xfId="0">
      <alignment horizontal="center" vertical="center"/>
    </xf>
    <xf numFmtId="169" fontId="0" fillId="0" borderId="0" pivotButton="0" quotePrefix="0" xfId="0"/>
    <xf numFmtId="170" fontId="0" fillId="0" borderId="0" pivotButton="0" quotePrefix="0" xfId="0"/>
    <xf numFmtId="166" fontId="6" fillId="0" borderId="0" pivotButton="0" quotePrefix="0" xfId="0"/>
    <xf numFmtId="170" fontId="2" fillId="0" borderId="0" applyAlignment="1" pivotButton="0" quotePrefix="0" xfId="1">
      <alignment horizontal="center"/>
    </xf>
    <xf numFmtId="168" fontId="2" fillId="0" borderId="0" pivotButton="0" quotePrefix="0" xfId="1"/>
    <xf numFmtId="165" fontId="8" fillId="2" borderId="0" applyAlignment="1" pivotButton="0" quotePrefix="0" xfId="1">
      <alignment horizontal="center" vertical="center" wrapText="1"/>
    </xf>
    <xf numFmtId="170" fontId="8" fillId="2" borderId="0" applyAlignment="1" pivotButton="0" quotePrefix="0" xfId="1">
      <alignment horizontal="center" vertical="center" wrapText="1"/>
    </xf>
    <xf numFmtId="165" fontId="8" fillId="2" borderId="0" applyAlignment="1" pivotButton="0" quotePrefix="0" xfId="1">
      <alignment horizontal="left" vertical="center" wrapText="1"/>
    </xf>
  </cellXfs>
  <cellStyles count="3">
    <cellStyle name="Normal" xfId="0" builtinId="0"/>
    <cellStyle name="Moneda [0]" xfId="1" builtinId="7"/>
    <cellStyle name="Porcentaje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10</col>
      <colOff>43793</colOff>
      <row>0</row>
      <rowOff>0</rowOff>
    </from>
    <to>
      <col>12</col>
      <colOff>762724</colOff>
      <row>10</row>
      <rowOff>36495</rowOff>
    </to>
    <pic>
      <nvPicPr>
        <cNvPr id="2" name="Imagen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19269" t="23094" r="19463" b="28553"/>
        <a:stretch xmlns:a="http://schemas.openxmlformats.org/drawingml/2006/main">
          <a:fillRect/>
        </a:stretch>
      </blipFill>
      <spPr>
        <a:xfrm xmlns:a="http://schemas.openxmlformats.org/drawingml/2006/main">
          <a:off x="11780345" y="0"/>
          <a:ext cx="2941432" cy="21166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P74"/>
  <sheetViews>
    <sheetView tabSelected="1" view="pageBreakPreview" zoomScale="89" zoomScaleNormal="90" zoomScaleSheetLayoutView="108" workbookViewId="0">
      <selection activeCell="H46" sqref="H46"/>
    </sheetView>
  </sheetViews>
  <sheetFormatPr baseColWidth="10" defaultRowHeight="16"/>
  <cols>
    <col width="5.83203125" customWidth="1" style="48" min="1" max="1"/>
    <col width="47.1640625" bestFit="1" customWidth="1" style="48" min="2" max="2"/>
    <col width="16.83203125" bestFit="1" customWidth="1" style="48" min="3" max="3"/>
    <col width="14.6640625" bestFit="1" customWidth="1" style="48" min="7" max="7"/>
    <col width="22.1640625" bestFit="1" customWidth="1" style="48" min="8" max="8"/>
    <col width="12.5" bestFit="1" customWidth="1" style="48" min="10" max="10"/>
    <col width="18.33203125" customWidth="1" style="48" min="12" max="12"/>
    <col width="5.83203125" customWidth="1" style="48" min="14" max="14"/>
    <col width="12.6640625" bestFit="1" customWidth="1" style="48" min="16" max="16"/>
  </cols>
  <sheetData>
    <row r="6">
      <c r="B6" s="47" t="inlineStr">
        <is>
          <t>REPORTE DE LIQUIDACION</t>
        </is>
      </c>
    </row>
    <row r="7"/>
    <row r="11"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</row>
    <row r="12" ht="21" customFormat="1" customHeight="1" s="50">
      <c r="B12" s="29" t="inlineStr">
        <is>
          <t>C.I GREEN GLOBAL GROUP S.A.S</t>
        </is>
      </c>
      <c r="G12" s="50" t="inlineStr">
        <is>
          <t>PROVEEDOR:</t>
        </is>
      </c>
      <c r="I12" s="9" t="inlineStr"/>
    </row>
    <row r="13" ht="9" customFormat="1" customHeight="1" s="50">
      <c r="I13" s="9" t="n"/>
    </row>
    <row r="14" ht="21" customFormat="1" customHeight="1" s="50">
      <c r="B14" s="50" t="inlineStr">
        <is>
          <t xml:space="preserve">NIT: </t>
        </is>
      </c>
      <c r="C14" s="16" t="inlineStr">
        <is>
          <t>901.640.887-1</t>
        </is>
      </c>
      <c r="G14" s="50" t="inlineStr">
        <is>
          <t>NIT:</t>
        </is>
      </c>
      <c r="I14" s="9" t="inlineStr"/>
    </row>
    <row r="15" ht="9" customFormat="1" customHeight="1" s="50">
      <c r="C15" s="16" t="n"/>
      <c r="I15" s="9" t="n"/>
    </row>
    <row r="16" ht="21" customFormat="1" customHeight="1" s="50">
      <c r="B16" s="50" t="inlineStr">
        <is>
          <t>DOCUMENTO:</t>
        </is>
      </c>
      <c r="C16" s="49" t="inlineStr"/>
      <c r="G16" s="50" t="inlineStr">
        <is>
          <t>TIPO DE PROVEEDOR:</t>
        </is>
      </c>
      <c r="I16" s="9" t="inlineStr">
        <is>
          <t>RECICLADO</t>
        </is>
      </c>
    </row>
    <row r="17" ht="9" customFormat="1" customHeight="1" s="50">
      <c r="C17" s="16" t="n"/>
      <c r="I17" s="9" t="n"/>
    </row>
    <row r="18" ht="21" customFormat="1" customHeight="1" s="50">
      <c r="B18" s="50" t="inlineStr">
        <is>
          <t>FECHA DE LIQUIDACION:</t>
        </is>
      </c>
      <c r="C18" s="49">
        <f>TODAY()</f>
        <v/>
      </c>
      <c r="G18" s="50" t="inlineStr">
        <is>
          <t>TIPO DE ORO:</t>
        </is>
      </c>
      <c r="I18" s="9" t="inlineStr">
        <is>
          <t>RECICLADO</t>
        </is>
      </c>
    </row>
    <row r="19"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2" ht="24" customFormat="1" customHeight="1" s="46">
      <c r="B22" s="22" t="n"/>
      <c r="C22" s="45" t="inlineStr">
        <is>
          <t>PESO RECIBIDO</t>
        </is>
      </c>
      <c r="E22" s="22" t="n"/>
      <c r="F22" s="22" t="n"/>
      <c r="G22" s="7" t="inlineStr">
        <is>
          <t>PESO FUNDIDO</t>
        </is>
      </c>
      <c r="H22" s="7" t="n"/>
      <c r="I22" s="22" t="n"/>
      <c r="J22" s="22" t="n"/>
      <c r="K22" s="45" t="inlineStr">
        <is>
          <t xml:space="preserve">PÉRDIDA </t>
        </is>
      </c>
      <c r="M22" s="22" t="n"/>
    </row>
    <row r="23"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 ht="24" customFormat="1" customHeight="1" s="46">
      <c r="B24" s="22" t="n"/>
      <c r="C24" s="22" t="inlineStr"/>
      <c r="D24" s="22" t="inlineStr">
        <is>
          <t>G</t>
        </is>
      </c>
      <c r="E24" s="22" t="n"/>
      <c r="F24" s="22" t="n"/>
      <c r="G24" s="22" t="inlineStr"/>
      <c r="H24" s="22" t="inlineStr">
        <is>
          <t>G</t>
        </is>
      </c>
      <c r="I24" s="22" t="n"/>
      <c r="J24" s="22" t="n"/>
      <c r="K24" s="22">
        <f>C24-G24</f>
        <v/>
      </c>
      <c r="L24" s="36">
        <f>K24/C24</f>
        <v/>
      </c>
      <c r="M24" s="22" t="n"/>
    </row>
    <row r="25"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8" ht="26" customFormat="1" customHeight="1" s="42">
      <c r="B28" s="41" t="inlineStr">
        <is>
          <t>VARIABLES</t>
        </is>
      </c>
      <c r="E28" s="24" t="n"/>
      <c r="F28" s="24" t="n"/>
      <c r="G28" s="41" t="inlineStr">
        <is>
          <t>ORO</t>
        </is>
      </c>
      <c r="J28" s="24" t="n"/>
      <c r="K28" s="41" t="inlineStr">
        <is>
          <t>PLATA</t>
        </is>
      </c>
    </row>
    <row r="30" ht="24" customHeight="1" s="48">
      <c r="B30" s="7" t="n"/>
      <c r="C30" s="7" t="n"/>
      <c r="D30" s="7" t="n"/>
      <c r="E30" s="7" t="n"/>
      <c r="G30" s="6" t="n"/>
      <c r="H30" s="11" t="n"/>
      <c r="I30" s="6" t="n"/>
      <c r="K30" s="6" t="n"/>
      <c r="L30" s="10" t="n"/>
      <c r="M30" s="6" t="n"/>
    </row>
    <row r="31" ht="11" customHeight="1" s="48">
      <c r="B31" s="7" t="n"/>
      <c r="C31" s="7" t="n"/>
      <c r="D31" s="7" t="n"/>
      <c r="E31" s="7" t="n"/>
      <c r="G31" s="6" t="n"/>
      <c r="H31" s="11" t="n"/>
      <c r="I31" s="6" t="n"/>
      <c r="K31" s="6" t="n"/>
      <c r="L31" s="10" t="n"/>
      <c r="M31" s="6" t="n"/>
    </row>
    <row r="32" ht="26" customHeight="1" s="48">
      <c r="B32" s="25" t="inlineStr">
        <is>
          <t>LEY %</t>
        </is>
      </c>
      <c r="C32" s="7" t="n"/>
      <c r="D32" s="7" t="n"/>
      <c r="E32" s="7" t="n"/>
      <c r="G32" s="6" t="n"/>
      <c r="H32" s="51" t="inlineStr"/>
      <c r="I32" s="7" t="n"/>
      <c r="J32" s="46" t="n"/>
      <c r="K32" s="7" t="n"/>
      <c r="L32" s="51" t="inlineStr"/>
      <c r="M32" s="6" t="n"/>
    </row>
    <row r="33" ht="15" customHeight="1" s="48">
      <c r="B33" s="25" t="n"/>
      <c r="C33" s="7" t="n"/>
      <c r="D33" s="7" t="n"/>
      <c r="E33" s="7" t="n"/>
      <c r="G33" s="6" t="n"/>
      <c r="H33" s="13" t="n"/>
      <c r="I33" s="7" t="n"/>
      <c r="J33" s="46" t="n"/>
      <c r="K33" s="7" t="n"/>
      <c r="L33" s="12" t="n"/>
      <c r="M33" s="6" t="n"/>
    </row>
    <row r="34" ht="26" customHeight="1" s="48">
      <c r="B34" s="25" t="inlineStr">
        <is>
          <t>FINO (G)</t>
        </is>
      </c>
      <c r="C34" s="7" t="n"/>
      <c r="D34" s="7" t="n"/>
      <c r="E34" s="7" t="n"/>
      <c r="G34" s="6" t="n"/>
      <c r="H34" s="51">
        <f>ROUND(G24*H32/1000,2)</f>
        <v/>
      </c>
      <c r="I34" s="7" t="n"/>
      <c r="J34" s="46" t="n"/>
      <c r="K34" s="7" t="n"/>
      <c r="L34" s="30">
        <f>ROUND(G24*L32/1000,2)</f>
        <v/>
      </c>
      <c r="M34" s="6" t="n"/>
    </row>
    <row r="35" ht="15" customHeight="1" s="48">
      <c r="B35" s="25" t="n"/>
      <c r="C35" s="7" t="n"/>
      <c r="D35" s="7" t="n"/>
      <c r="E35" s="7" t="n"/>
      <c r="G35" s="6" t="n"/>
      <c r="H35" s="13" t="n"/>
      <c r="I35" s="7" t="n"/>
      <c r="J35" s="46" t="n"/>
      <c r="K35" s="7" t="n"/>
      <c r="L35" s="12" t="n"/>
      <c r="M35" s="6" t="n"/>
    </row>
    <row r="36" ht="26" customHeight="1" s="48">
      <c r="B36" s="25" t="inlineStr">
        <is>
          <t>PRECIO (COP)</t>
        </is>
      </c>
      <c r="C36" s="7" t="n"/>
      <c r="D36" s="7" t="n"/>
      <c r="E36" s="7" t="n"/>
      <c r="G36" s="6" t="n"/>
      <c r="H36" s="52">
        <f>ROUND(((G73/31.10347)*C73)*97.5%,0)</f>
        <v/>
      </c>
      <c r="I36" s="7" t="n"/>
      <c r="J36" s="46" t="n"/>
      <c r="K36" s="7" t="n"/>
      <c r="L36" s="52">
        <f>ROUND(((J73/31.10347)*C73)/2,0)</f>
        <v/>
      </c>
      <c r="M36" s="6" t="n"/>
    </row>
    <row r="37" ht="15" customHeight="1" s="48">
      <c r="B37" s="25" t="n"/>
      <c r="C37" s="7" t="n"/>
      <c r="D37" s="7" t="n"/>
      <c r="E37" s="7" t="n"/>
      <c r="G37" s="6" t="n"/>
      <c r="H37" s="53" t="n"/>
      <c r="I37" s="7" t="n"/>
      <c r="J37" s="46" t="n"/>
      <c r="K37" s="7" t="n"/>
      <c r="L37" s="54" t="n"/>
      <c r="M37" s="6" t="n"/>
    </row>
    <row r="38" ht="26" customHeight="1" s="48">
      <c r="B38" s="25" t="inlineStr">
        <is>
          <t>VALOR METAL (COP)</t>
        </is>
      </c>
      <c r="C38" s="7" t="n"/>
      <c r="D38" s="7" t="n"/>
      <c r="E38" s="7" t="n"/>
      <c r="G38" s="6" t="n"/>
      <c r="H38" s="52">
        <f>H34*H36</f>
        <v/>
      </c>
      <c r="I38" s="7" t="n"/>
      <c r="J38" s="46" t="n"/>
      <c r="K38" s="7" t="n"/>
      <c r="L38" s="53">
        <f>L34*L36</f>
        <v/>
      </c>
      <c r="M38" s="6" t="n"/>
    </row>
    <row r="39" ht="15" customHeight="1" s="48">
      <c r="B39" s="7" t="n"/>
      <c r="C39" s="7" t="n"/>
      <c r="D39" s="7" t="n"/>
      <c r="E39" s="7" t="n"/>
      <c r="G39" s="6" t="n"/>
      <c r="H39" s="13" t="n"/>
      <c r="I39" s="7" t="n"/>
      <c r="J39" s="46" t="n"/>
      <c r="K39" s="7" t="n"/>
      <c r="L39" s="12" t="n"/>
      <c r="M39" s="6" t="n"/>
    </row>
    <row r="40" ht="24" customHeight="1" s="48">
      <c r="B40" s="7" t="n"/>
      <c r="C40" s="7" t="n"/>
      <c r="D40" s="7" t="n"/>
      <c r="E40" s="7" t="n"/>
      <c r="G40" s="6" t="n"/>
      <c r="H40" s="11" t="n"/>
      <c r="I40" s="6" t="n"/>
      <c r="K40" s="6" t="n"/>
      <c r="L40" s="10" t="n"/>
      <c r="M40" s="6" t="n"/>
    </row>
    <row r="43">
      <c r="G43" s="6" t="n"/>
      <c r="H43" s="6" t="n"/>
      <c r="I43" s="6" t="n"/>
    </row>
    <row r="44" ht="24" customHeight="1" s="48">
      <c r="B44" s="14" t="inlineStr">
        <is>
          <t>VALOR TOTAL METALES (COP)</t>
        </is>
      </c>
      <c r="G44" s="6" t="n"/>
      <c r="H44" s="52">
        <f>H38+L38</f>
        <v/>
      </c>
      <c r="I44" s="6" t="n"/>
    </row>
    <row r="45" ht="15" customHeight="1" s="48">
      <c r="B45" s="14" t="n"/>
      <c r="G45" s="6" t="n"/>
      <c r="H45" s="52" t="n"/>
      <c r="I45" s="6" t="n"/>
      <c r="K45" s="55" t="n"/>
    </row>
    <row r="46" ht="24" customHeight="1" s="48">
      <c r="B46" s="14" t="inlineStr">
        <is>
          <t>RETEFUENTE (COP)</t>
        </is>
      </c>
      <c r="G46" s="6" t="n"/>
      <c r="H46" s="52">
        <f>H44*-2.5%</f>
        <v/>
      </c>
      <c r="I46" s="6" t="n"/>
      <c r="K46" s="55" t="n"/>
    </row>
    <row r="47" ht="15" customHeight="1" s="48">
      <c r="G47" s="6" t="n"/>
      <c r="H47" s="52" t="n"/>
      <c r="I47" s="6" t="n"/>
    </row>
    <row r="48" ht="24" customHeight="1" s="48">
      <c r="B48" s="14" t="inlineStr">
        <is>
          <t>VALOR A PAGAR (COP)</t>
        </is>
      </c>
      <c r="G48" s="6" t="n"/>
      <c r="H48" s="52">
        <f>H44+H46</f>
        <v/>
      </c>
      <c r="I48" s="6" t="n"/>
    </row>
    <row r="49">
      <c r="G49" s="6" t="n"/>
      <c r="H49" s="6" t="n"/>
      <c r="I49" s="6" t="n"/>
    </row>
    <row r="51" ht="19" customHeight="1" s="48">
      <c r="B51" s="17" t="inlineStr">
        <is>
          <t>REGALIAS ADEUDADAS POR EL PROVEEDOR</t>
        </is>
      </c>
      <c r="C51" s="17" t="n"/>
      <c r="D51" s="17" t="n"/>
      <c r="E51" s="17" t="n"/>
      <c r="G51" s="6" t="n"/>
      <c r="H51" s="6" t="n"/>
      <c r="I51" s="6" t="n"/>
      <c r="K51" s="6" t="n"/>
      <c r="L51" s="6" t="n"/>
      <c r="M51" s="6" t="n"/>
      <c r="P51" s="56">
        <f>C53*4%</f>
        <v/>
      </c>
    </row>
    <row r="52" ht="24" customHeight="1" s="48">
      <c r="C52" s="3" t="inlineStr">
        <is>
          <t>ORO</t>
        </is>
      </c>
      <c r="E52" s="3" t="inlineStr">
        <is>
          <t>PLATA</t>
        </is>
      </c>
      <c r="G52" s="6" t="n"/>
      <c r="H52" s="52">
        <f>P51*H34</f>
        <v/>
      </c>
      <c r="I52" s="6" t="n"/>
      <c r="K52" s="6" t="n"/>
      <c r="L52" s="53">
        <f>(P52*L34)</f>
        <v/>
      </c>
      <c r="M52" s="6" t="n"/>
      <c r="P52" s="56">
        <f>E53*4%</f>
        <v/>
      </c>
    </row>
    <row r="53" ht="19" customHeight="1" s="48">
      <c r="B53" s="57">
        <f>UPPER(TEXT(TODAY(),"mmmm") &amp; " " &amp; YEAR(TODAY()))</f>
        <v/>
      </c>
      <c r="C53" s="58" t="n">
        <v>342692.83</v>
      </c>
      <c r="D53" s="59" t="n"/>
      <c r="E53" s="58" t="n">
        <v>4905.89</v>
      </c>
      <c r="F53" s="59" t="n"/>
      <c r="G53" s="6" t="n"/>
      <c r="H53" s="6" t="n"/>
      <c r="I53" s="6" t="n"/>
      <c r="K53" s="6" t="n"/>
      <c r="L53" s="6" t="n"/>
      <c r="M53" s="6" t="n"/>
    </row>
    <row r="57">
      <c r="G57" s="6" t="n"/>
      <c r="H57" s="6" t="n"/>
      <c r="I57" s="6" t="n"/>
    </row>
    <row r="58" ht="24" customHeight="1" s="48">
      <c r="B58" s="14" t="inlineStr">
        <is>
          <t>VALOR A TRANSFERIR</t>
        </is>
      </c>
      <c r="G58" s="6" t="n"/>
      <c r="H58" s="52">
        <f>H48-H52-L52</f>
        <v/>
      </c>
      <c r="I58" s="6" t="n"/>
    </row>
    <row r="59">
      <c r="G59" s="6" t="n"/>
      <c r="H59" s="6" t="n"/>
      <c r="I59" s="6" t="n"/>
    </row>
    <row r="60"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</row>
    <row r="61" ht="21" customHeight="1" s="48">
      <c r="I61" s="27" t="inlineStr">
        <is>
          <t>RUCOM:</t>
        </is>
      </c>
      <c r="J61" s="43" t="n">
        <v>2023051224384</v>
      </c>
      <c r="K61" s="44" t="n"/>
    </row>
    <row r="65" ht="26" customHeight="1" s="48">
      <c r="B65" s="24" t="inlineStr">
        <is>
          <t>PARÁMETROS</t>
        </is>
      </c>
    </row>
    <row r="66">
      <c r="B66" s="19" t="n"/>
    </row>
    <row r="67">
      <c r="B67" s="19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</row>
    <row r="68" ht="25" customHeight="1" s="48">
      <c r="B68" s="19" t="n"/>
      <c r="C68" s="60" t="inlineStr">
        <is>
          <t>TC</t>
        </is>
      </c>
      <c r="D68" s="60" t="n"/>
      <c r="E68" s="60" t="n"/>
      <c r="F68" s="60" t="n"/>
      <c r="G68" s="60" t="inlineStr">
        <is>
          <t>XAU</t>
        </is>
      </c>
      <c r="H68" s="60" t="n"/>
      <c r="I68" s="60" t="n"/>
      <c r="J68" s="60" t="inlineStr">
        <is>
          <t>XAG</t>
        </is>
      </c>
      <c r="K68" s="6" t="n"/>
    </row>
    <row r="69" customFormat="1" s="1">
      <c r="B69" s="2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</row>
    <row r="70">
      <c r="B70" s="19" t="n"/>
    </row>
    <row r="71">
      <c r="B71" s="19" t="n"/>
    </row>
    <row r="72" ht="24" customHeight="1" s="48">
      <c r="B72" s="19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</row>
    <row r="73" ht="30" customHeight="1" s="48">
      <c r="B73" s="19" t="n"/>
      <c r="C73" s="52" t="n">
        <v>3077</v>
      </c>
      <c r="D73" s="60" t="inlineStr">
        <is>
          <t xml:space="preserve">  1 USD</t>
        </is>
      </c>
      <c r="E73" s="60" t="n"/>
      <c r="F73" s="60" t="n"/>
      <c r="G73" s="61" t="n">
        <v>4384</v>
      </c>
      <c r="H73" s="62" t="inlineStr">
        <is>
          <t xml:space="preserve">    1 OZ</t>
        </is>
      </c>
      <c r="I73" s="60" t="n"/>
      <c r="J73" s="52" t="n">
        <v>40</v>
      </c>
      <c r="K73" s="60" t="inlineStr">
        <is>
          <t>1 OZ</t>
        </is>
      </c>
    </row>
    <row r="74" ht="24" customHeight="1" s="48">
      <c r="B74" s="19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</row>
  </sheetData>
  <mergeCells count="8">
    <mergeCell ref="B28:D28"/>
    <mergeCell ref="G28:I28"/>
    <mergeCell ref="K28:M28"/>
    <mergeCell ref="B6:F7"/>
    <mergeCell ref="C22:D22"/>
    <mergeCell ref="J61:K61"/>
    <mergeCell ref="K22:L22"/>
    <mergeCell ref="C18:D18"/>
  </mergeCells>
  <pageMargins left="0.7" right="0.7" top="0.75" bottom="0.75" header="0.3" footer="0.3"/>
  <pageSetup orientation="portrait" scale="40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Emanuel Angel</dc:creator>
  <dcterms:created xmlns:dcterms="http://purl.org/dc/terms/" xmlns:xsi="http://www.w3.org/2001/XMLSchema-instance" xsi:type="dcterms:W3CDTF">2025-10-02T15:35:51Z</dcterms:created>
  <dcterms:modified xmlns:dcterms="http://purl.org/dc/terms/" xmlns:xsi="http://www.w3.org/2001/XMLSchema-instance" xsi:type="dcterms:W3CDTF">2026-08-18T19:33:09Z</dcterms:modified>
  <cp:lastModifiedBy>Emanuel Angel</cp:lastModifiedBy>
  <cp:lastPrinted>2025-10-02T17:34:21Z</cp:lastPrinted>
</cp:coreProperties>
</file>